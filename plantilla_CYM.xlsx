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ucbastidas\Desktop\Formato Notas Masivas\Cervecería\"/>
    </mc:Choice>
  </mc:AlternateContent>
  <bookViews>
    <workbookView xWindow="0" yWindow="0" windowWidth="15360" windowHeight="7620"/>
  </bookViews>
  <sheets>
    <sheet name="Batch" sheetId="1" r:id="rId1"/>
  </sheets>
  <externalReferences>
    <externalReference r:id="rId2"/>
  </externalReferences>
  <definedNames>
    <definedName name="_xlnm._FilterDatabase" localSheetId="0" hidden="1">Batch!$A$1:$I$2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2" i="1" l="1"/>
  <c r="G42" i="1"/>
  <c r="F42" i="1"/>
  <c r="H41" i="1"/>
  <c r="G41" i="1"/>
  <c r="F41" i="1"/>
  <c r="H40" i="1"/>
  <c r="G40" i="1"/>
  <c r="F40" i="1"/>
  <c r="H39" i="1"/>
  <c r="G39" i="1"/>
  <c r="F39" i="1"/>
  <c r="H38" i="1"/>
  <c r="G38" i="1"/>
  <c r="F38" i="1"/>
  <c r="H37" i="1"/>
  <c r="G37" i="1"/>
  <c r="F37" i="1"/>
  <c r="H36" i="1"/>
  <c r="G36" i="1"/>
  <c r="F36" i="1"/>
  <c r="H35" i="1"/>
  <c r="G35" i="1"/>
  <c r="F35" i="1"/>
  <c r="H34" i="1"/>
  <c r="G34" i="1"/>
  <c r="F34" i="1"/>
  <c r="H33" i="1"/>
  <c r="G33" i="1"/>
  <c r="F33" i="1"/>
  <c r="H32" i="1"/>
  <c r="G32" i="1"/>
  <c r="F32" i="1"/>
  <c r="H31" i="1"/>
  <c r="G31" i="1"/>
  <c r="F31" i="1"/>
  <c r="H30" i="1"/>
  <c r="G30" i="1"/>
  <c r="F30" i="1"/>
  <c r="H29" i="1"/>
  <c r="G29" i="1"/>
  <c r="F29" i="1"/>
  <c r="H28" i="1"/>
  <c r="G28" i="1"/>
  <c r="F28" i="1"/>
  <c r="H27" i="1"/>
  <c r="G27" i="1"/>
  <c r="F27" i="1"/>
  <c r="H26" i="1"/>
  <c r="G26" i="1"/>
  <c r="F26" i="1"/>
  <c r="H25" i="1"/>
  <c r="G25" i="1"/>
  <c r="F25" i="1"/>
  <c r="H24" i="1"/>
  <c r="G24" i="1"/>
  <c r="F24" i="1"/>
  <c r="H23" i="1"/>
  <c r="G23" i="1"/>
  <c r="F23" i="1"/>
  <c r="H22" i="1"/>
  <c r="G22" i="1"/>
  <c r="F22" i="1"/>
  <c r="H21" i="1"/>
  <c r="G21" i="1"/>
  <c r="F21" i="1"/>
  <c r="H20" i="1"/>
  <c r="G20" i="1"/>
  <c r="F20" i="1"/>
  <c r="H19" i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H9" i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H4" i="1"/>
  <c r="G4" i="1"/>
  <c r="F4" i="1"/>
  <c r="H3" i="1"/>
  <c r="G3" i="1"/>
  <c r="F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2" i="1"/>
  <c r="H2" i="1" l="1"/>
  <c r="G2" i="1"/>
  <c r="F2" i="1"/>
</calcChain>
</file>

<file path=xl/sharedStrings.xml><?xml version="1.0" encoding="utf-8"?>
<sst xmlns="http://schemas.openxmlformats.org/spreadsheetml/2006/main" count="427" uniqueCount="104">
  <si>
    <t xml:space="preserve">Clase de pedido </t>
  </si>
  <si>
    <t>Organizacion de Venta</t>
  </si>
  <si>
    <t>Canal de Distribucion</t>
  </si>
  <si>
    <t xml:space="preserve">Sector   </t>
  </si>
  <si>
    <t>Solicitante</t>
  </si>
  <si>
    <t>Fecha de Pedido</t>
  </si>
  <si>
    <t>Fecha de Precio</t>
  </si>
  <si>
    <t>Fecha de Factura</t>
  </si>
  <si>
    <t>Motivo</t>
  </si>
  <si>
    <t>Material</t>
  </si>
  <si>
    <t xml:space="preserve">Cantidad </t>
  </si>
  <si>
    <t>U. MEDIDA</t>
  </si>
  <si>
    <t>CONDICION</t>
  </si>
  <si>
    <t>VARIACION DE PRECIO</t>
  </si>
  <si>
    <t>ASIGNACION</t>
  </si>
  <si>
    <t>R02</t>
  </si>
  <si>
    <t>UTILIZACION</t>
  </si>
  <si>
    <t>TEXTO CABECERA</t>
  </si>
  <si>
    <t>ZCDF</t>
  </si>
  <si>
    <t>C001</t>
  </si>
  <si>
    <t>CA</t>
  </si>
  <si>
    <t>C1</t>
  </si>
  <si>
    <t>ZXAM</t>
  </si>
  <si>
    <t>3607356157</t>
  </si>
  <si>
    <t>1634040331</t>
  </si>
  <si>
    <t>1630050722</t>
  </si>
  <si>
    <t>0075719883</t>
  </si>
  <si>
    <t>5425187601</t>
  </si>
  <si>
    <t>5425187723</t>
  </si>
  <si>
    <t>3631451539</t>
  </si>
  <si>
    <t>3631451617</t>
  </si>
  <si>
    <t>1634040242</t>
  </si>
  <si>
    <t>3595317752</t>
  </si>
  <si>
    <t>1630050922</t>
  </si>
  <si>
    <t>0075719563</t>
  </si>
  <si>
    <t>1009800363</t>
  </si>
  <si>
    <t>9730147809</t>
  </si>
  <si>
    <t>6580107307</t>
  </si>
  <si>
    <t>3595317205</t>
  </si>
  <si>
    <t>3595317765</t>
  </si>
  <si>
    <t>8415272553</t>
  </si>
  <si>
    <t>1634040288</t>
  </si>
  <si>
    <t>1630050728</t>
  </si>
  <si>
    <t>0967413372</t>
  </si>
  <si>
    <t>1634040244</t>
  </si>
  <si>
    <t>3607356116</t>
  </si>
  <si>
    <t>3761323692</t>
  </si>
  <si>
    <t>1630050645</t>
  </si>
  <si>
    <t>0075719799</t>
  </si>
  <si>
    <t>9620096933</t>
  </si>
  <si>
    <t>9401063348</t>
  </si>
  <si>
    <t>3595317756</t>
  </si>
  <si>
    <t>8946304034</t>
  </si>
  <si>
    <t>0075719872</t>
  </si>
  <si>
    <t>7033239846</t>
  </si>
  <si>
    <t>7033239829</t>
  </si>
  <si>
    <t>0075719607</t>
  </si>
  <si>
    <t>3761323761</t>
  </si>
  <si>
    <t>3761323762</t>
  </si>
  <si>
    <t>9730147818</t>
  </si>
  <si>
    <t>9401063602</t>
  </si>
  <si>
    <t>0075719826</t>
  </si>
  <si>
    <t>3595317291</t>
  </si>
  <si>
    <t>8946304244</t>
  </si>
  <si>
    <t>F07018</t>
  </si>
  <si>
    <t>NC POR DESCUENTO 5% NO REFLEJADO</t>
  </si>
  <si>
    <t>246772</t>
  </si>
  <si>
    <t>268079</t>
  </si>
  <si>
    <t>463739</t>
  </si>
  <si>
    <t>481019</t>
  </si>
  <si>
    <t>485307</t>
  </si>
  <si>
    <t>505193</t>
  </si>
  <si>
    <t>505576</t>
  </si>
  <si>
    <t>518442</t>
  </si>
  <si>
    <t>539544</t>
  </si>
  <si>
    <t>542037</t>
  </si>
  <si>
    <t>556864</t>
  </si>
  <si>
    <t>567209</t>
  </si>
  <si>
    <t>612250</t>
  </si>
  <si>
    <t>675499</t>
  </si>
  <si>
    <t>675500</t>
  </si>
  <si>
    <t>690980</t>
  </si>
  <si>
    <t>733331</t>
  </si>
  <si>
    <t>761422</t>
  </si>
  <si>
    <t>779576</t>
  </si>
  <si>
    <t>789042</t>
  </si>
  <si>
    <t>789222</t>
  </si>
  <si>
    <t>789949</t>
  </si>
  <si>
    <t>794457</t>
  </si>
  <si>
    <t>866156</t>
  </si>
  <si>
    <t>881113</t>
  </si>
  <si>
    <t>892199</t>
  </si>
  <si>
    <t>900394</t>
  </si>
  <si>
    <t>900400</t>
  </si>
  <si>
    <t>900424</t>
  </si>
  <si>
    <t>900435</t>
  </si>
  <si>
    <t>900436</t>
  </si>
  <si>
    <t>900441</t>
  </si>
  <si>
    <t>900485</t>
  </si>
  <si>
    <t>900623</t>
  </si>
  <si>
    <t>920518</t>
  </si>
  <si>
    <t>936272</t>
  </si>
  <si>
    <t>941818</t>
  </si>
  <si>
    <t>949740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</si>
</sst>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 * #,##0.00_ ;_ * \-#,##0.00_ ;_ * &quot;-&quot;??_ ;_ @_ "/>
    <numFmt numFmtId="165" formatCode="_([$€-2]\ * #,##0.00_);_([$€-2]\ * \(#,##0.00\);_([$€-2]\ * &quot;-&quot;??_)"/>
  </numFmts>
  <fonts count="5" x14ac:knownFonts="1">
    <font>
      <sz val="11"/>
      <color theme="1"/>
      <name val="Calibri"/>
      <family val="2"/>
      <scheme val="minor"/>
    </font>
    <font>
      <sz val="8"/>
      <color theme="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1">
    <xf numFmtId="0" fontId="0" fillId="0" borderId="0"/>
    <xf numFmtId="0" fontId="2" fillId="0" borderId="0"/>
    <xf numFmtId="0" fontId="3" fillId="0" borderId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14" fontId="1" fillId="2" borderId="0" xfId="0" applyNumberFormat="1" applyFont="1" applyFill="1" applyAlignment="1">
      <alignment horizontal="center" vertical="center"/>
    </xf>
    <xf numFmtId="0" fontId="4" fillId="0" borderId="0" xfId="0" applyFont="1" applyFill="1" applyBorder="1" applyAlignment="1">
      <alignment wrapText="1"/>
    </xf>
    <xf numFmtId="0" fontId="0" fillId="0" borderId="0" xfId="0" applyFill="1"/>
    <xf numFmtId="14" fontId="4" fillId="0" borderId="0" xfId="0" applyNumberFormat="1" applyFont="1" applyFill="1" applyBorder="1" applyAlignment="1">
      <alignment wrapText="1"/>
    </xf>
    <xf numFmtId="0" fontId="0" fillId="0" borderId="0" xfId="0" applyFill="1" applyAlignment="1">
      <alignment horizontal="center"/>
    </xf>
    <xf numFmtId="2" fontId="4" fillId="0" borderId="0" xfId="0" applyNumberFormat="1" applyFont="1" applyFill="1" applyBorder="1" applyAlignment="1">
      <alignment wrapText="1"/>
    </xf>
  </cellXfs>
  <cellStyles count="11">
    <cellStyle name="Euro" xfId="8"/>
    <cellStyle name="Millares 2" xfId="3"/>
    <cellStyle name="Millares 2 110" xfId="7"/>
    <cellStyle name="Millares 2 184" xfId="10"/>
    <cellStyle name="Millares 2 2" xfId="4"/>
    <cellStyle name="Normal" xfId="0" builtinId="0"/>
    <cellStyle name="Normal 2" xfId="1"/>
    <cellStyle name="Normal 3" xfId="2"/>
    <cellStyle name="Normal 3 2" xfId="5"/>
    <cellStyle name="Normal 5 185" xfId="9"/>
    <cellStyle name="Porcentaje 2" xfId="6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1"/>
        </top>
      </border>
    </dxf>
    <dxf>
      <font>
        <b/>
        <i val="0"/>
        <color theme="0"/>
      </font>
      <fill>
        <patternFill>
          <bgColor rgb="FF002060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hair">
          <color theme="1"/>
        </horizontal>
      </border>
    </dxf>
  </dxfs>
  <tableStyles count="1" defaultTableStyle="TableStyleMedium2" defaultPivotStyle="PivotStyleLight16">
    <tableStyle name="Diseño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ucbastidas/Desktop/EX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Hoja2"/>
      <sheetName val="Hoja1"/>
    </sheetNames>
    <sheetDataSet>
      <sheetData sheetId="0">
        <row r="1">
          <cell r="K1" t="str">
            <v>Cod.Producto</v>
          </cell>
          <cell r="L1" t="str">
            <v>U.M Venta</v>
          </cell>
        </row>
        <row r="2">
          <cell r="K2" t="str">
            <v>F07018</v>
          </cell>
          <cell r="L2" t="str">
            <v>CJ</v>
          </cell>
        </row>
        <row r="3">
          <cell r="K3" t="str">
            <v>F07101</v>
          </cell>
          <cell r="L3" t="str">
            <v>CJ</v>
          </cell>
        </row>
        <row r="4">
          <cell r="K4" t="str">
            <v>F07007</v>
          </cell>
          <cell r="L4" t="str">
            <v>CJ</v>
          </cell>
        </row>
        <row r="5">
          <cell r="K5" t="str">
            <v/>
          </cell>
          <cell r="L5" t="str">
            <v/>
          </cell>
        </row>
        <row r="6">
          <cell r="K6" t="str">
            <v>F07088</v>
          </cell>
          <cell r="L6" t="str">
            <v>CJ</v>
          </cell>
        </row>
        <row r="7">
          <cell r="K7" t="str">
            <v>F07018</v>
          </cell>
          <cell r="L7" t="str">
            <v>CJ</v>
          </cell>
        </row>
        <row r="8">
          <cell r="K8" t="str">
            <v>F07101</v>
          </cell>
          <cell r="L8" t="str">
            <v>CJ</v>
          </cell>
        </row>
        <row r="9">
          <cell r="K9" t="str">
            <v/>
          </cell>
          <cell r="L9" t="str">
            <v/>
          </cell>
        </row>
        <row r="10">
          <cell r="K10" t="str">
            <v>F07088</v>
          </cell>
          <cell r="L10" t="str">
            <v>CJ</v>
          </cell>
        </row>
        <row r="11">
          <cell r="K11" t="str">
            <v>F07018</v>
          </cell>
          <cell r="L11" t="str">
            <v>CJ</v>
          </cell>
        </row>
        <row r="12">
          <cell r="K12" t="str">
            <v/>
          </cell>
          <cell r="L12" t="str">
            <v/>
          </cell>
        </row>
        <row r="13">
          <cell r="K13" t="str">
            <v>F07018</v>
          </cell>
          <cell r="L13" t="str">
            <v>CJ</v>
          </cell>
        </row>
        <row r="14">
          <cell r="K14" t="str">
            <v>F07101</v>
          </cell>
          <cell r="L14" t="str">
            <v>CJ</v>
          </cell>
        </row>
        <row r="15">
          <cell r="K15" t="str">
            <v/>
          </cell>
          <cell r="L15" t="str">
            <v/>
          </cell>
        </row>
        <row r="16">
          <cell r="K16" t="str">
            <v>F07088</v>
          </cell>
          <cell r="L16" t="str">
            <v>CJ</v>
          </cell>
        </row>
        <row r="17">
          <cell r="K17" t="str">
            <v>F07018</v>
          </cell>
          <cell r="L17" t="str">
            <v>CJ</v>
          </cell>
        </row>
        <row r="18">
          <cell r="K18" t="str">
            <v/>
          </cell>
          <cell r="L18" t="str">
            <v/>
          </cell>
        </row>
        <row r="19">
          <cell r="K19" t="str">
            <v>F07018</v>
          </cell>
          <cell r="L19" t="str">
            <v>CJ</v>
          </cell>
        </row>
        <row r="20">
          <cell r="K20" t="str">
            <v>F07101</v>
          </cell>
          <cell r="L20" t="str">
            <v>CJ</v>
          </cell>
        </row>
        <row r="21">
          <cell r="K21" t="str">
            <v/>
          </cell>
          <cell r="L21" t="str">
            <v/>
          </cell>
        </row>
        <row r="22">
          <cell r="K22" t="str">
            <v>F07088</v>
          </cell>
          <cell r="L22" t="str">
            <v>CJ</v>
          </cell>
        </row>
        <row r="23">
          <cell r="K23" t="str">
            <v>F07018</v>
          </cell>
          <cell r="L23" t="str">
            <v>CJ</v>
          </cell>
        </row>
        <row r="24">
          <cell r="K24" t="str">
            <v>F07101</v>
          </cell>
          <cell r="L24" t="str">
            <v>CJ</v>
          </cell>
        </row>
        <row r="25">
          <cell r="K25" t="str">
            <v/>
          </cell>
          <cell r="L25" t="str">
            <v/>
          </cell>
        </row>
        <row r="26">
          <cell r="K26" t="str">
            <v>F07088</v>
          </cell>
          <cell r="L26" t="str">
            <v>CJ</v>
          </cell>
        </row>
        <row r="27">
          <cell r="K27" t="str">
            <v>F07018</v>
          </cell>
          <cell r="L27" t="str">
            <v>CJ</v>
          </cell>
        </row>
        <row r="28">
          <cell r="K28" t="str">
            <v>F07101</v>
          </cell>
          <cell r="L28" t="str">
            <v>CJ</v>
          </cell>
        </row>
        <row r="29">
          <cell r="K29" t="str">
            <v/>
          </cell>
          <cell r="L29" t="str">
            <v/>
          </cell>
        </row>
        <row r="30">
          <cell r="K30" t="str">
            <v>F07088</v>
          </cell>
          <cell r="L30" t="str">
            <v>CJ</v>
          </cell>
        </row>
        <row r="31">
          <cell r="K31" t="str">
            <v>F07018</v>
          </cell>
          <cell r="L31" t="str">
            <v>CJ</v>
          </cell>
        </row>
        <row r="32">
          <cell r="K32" t="str">
            <v/>
          </cell>
          <cell r="L32" t="str">
            <v/>
          </cell>
        </row>
        <row r="33">
          <cell r="K33" t="str">
            <v>F07018</v>
          </cell>
          <cell r="L33" t="str">
            <v>CJ</v>
          </cell>
        </row>
        <row r="34">
          <cell r="K34" t="str">
            <v>F07101</v>
          </cell>
          <cell r="L34" t="str">
            <v>CJ</v>
          </cell>
        </row>
        <row r="35">
          <cell r="K35" t="str">
            <v>F07007</v>
          </cell>
          <cell r="L35" t="str">
            <v>CJ</v>
          </cell>
        </row>
        <row r="36">
          <cell r="K36" t="str">
            <v/>
          </cell>
          <cell r="L36" t="str">
            <v/>
          </cell>
        </row>
        <row r="37">
          <cell r="K37" t="str">
            <v>F07018</v>
          </cell>
          <cell r="L37" t="str">
            <v>CJ</v>
          </cell>
        </row>
        <row r="38">
          <cell r="K38" t="str">
            <v>F07007</v>
          </cell>
          <cell r="L38" t="str">
            <v>CJ</v>
          </cell>
        </row>
        <row r="39">
          <cell r="K39" t="str">
            <v/>
          </cell>
          <cell r="L39" t="str">
            <v/>
          </cell>
        </row>
        <row r="40">
          <cell r="K40" t="str">
            <v>F07018</v>
          </cell>
          <cell r="L40" t="str">
            <v>CJ</v>
          </cell>
        </row>
        <row r="41">
          <cell r="K41" t="str">
            <v/>
          </cell>
          <cell r="L41" t="str">
            <v/>
          </cell>
        </row>
        <row r="42">
          <cell r="K42" t="str">
            <v>F07088</v>
          </cell>
          <cell r="L42" t="str">
            <v>CJ</v>
          </cell>
        </row>
        <row r="43">
          <cell r="K43" t="str">
            <v>F07018</v>
          </cell>
          <cell r="L43" t="str">
            <v>CJ</v>
          </cell>
        </row>
        <row r="44">
          <cell r="K44" t="str">
            <v/>
          </cell>
          <cell r="L44" t="str">
            <v/>
          </cell>
        </row>
        <row r="45">
          <cell r="K45" t="str">
            <v>F07088</v>
          </cell>
          <cell r="L45" t="str">
            <v>CJ</v>
          </cell>
        </row>
        <row r="46">
          <cell r="K46" t="str">
            <v>F07018</v>
          </cell>
          <cell r="L46" t="str">
            <v>CJ</v>
          </cell>
        </row>
        <row r="47">
          <cell r="K47" t="str">
            <v>F07101</v>
          </cell>
          <cell r="L47" t="str">
            <v>CJ</v>
          </cell>
        </row>
        <row r="48">
          <cell r="K48" t="str">
            <v/>
          </cell>
          <cell r="L48" t="str">
            <v/>
          </cell>
        </row>
        <row r="49">
          <cell r="K49" t="str">
            <v>F07018</v>
          </cell>
          <cell r="L49" t="str">
            <v>CJ</v>
          </cell>
        </row>
        <row r="50">
          <cell r="K50" t="str">
            <v>F07007</v>
          </cell>
          <cell r="L50" t="str">
            <v>CJ</v>
          </cell>
        </row>
        <row r="51">
          <cell r="K51" t="str">
            <v/>
          </cell>
          <cell r="L51" t="str">
            <v/>
          </cell>
        </row>
        <row r="52">
          <cell r="K52" t="str">
            <v>F07018</v>
          </cell>
          <cell r="L52" t="str">
            <v>CJ</v>
          </cell>
        </row>
        <row r="53">
          <cell r="K53" t="str">
            <v/>
          </cell>
          <cell r="L53" t="str">
            <v/>
          </cell>
        </row>
        <row r="54">
          <cell r="K54" t="str">
            <v>F07018</v>
          </cell>
          <cell r="L54" t="str">
            <v>CJ</v>
          </cell>
        </row>
        <row r="55">
          <cell r="K55" t="str">
            <v>F07007</v>
          </cell>
          <cell r="L55" t="str">
            <v>CJ</v>
          </cell>
        </row>
        <row r="56">
          <cell r="K56" t="str">
            <v/>
          </cell>
          <cell r="L56" t="str">
            <v/>
          </cell>
        </row>
        <row r="57">
          <cell r="K57" t="str">
            <v>F07018</v>
          </cell>
          <cell r="L57" t="str">
            <v>CJ</v>
          </cell>
        </row>
        <row r="58">
          <cell r="K58" t="str">
            <v/>
          </cell>
          <cell r="L58" t="str">
            <v/>
          </cell>
        </row>
        <row r="59">
          <cell r="K59" t="str">
            <v>F07018</v>
          </cell>
          <cell r="L59" t="str">
            <v>CJ</v>
          </cell>
        </row>
        <row r="60">
          <cell r="K60" t="str">
            <v>F07101</v>
          </cell>
          <cell r="L60" t="str">
            <v>CJ</v>
          </cell>
        </row>
        <row r="61">
          <cell r="K61" t="str">
            <v/>
          </cell>
          <cell r="L61" t="str">
            <v/>
          </cell>
        </row>
        <row r="62">
          <cell r="K62" t="str">
            <v>F07018</v>
          </cell>
          <cell r="L62" t="str">
            <v>CJ</v>
          </cell>
        </row>
        <row r="63">
          <cell r="K63" t="str">
            <v/>
          </cell>
          <cell r="L63" t="str">
            <v/>
          </cell>
        </row>
        <row r="64">
          <cell r="K64" t="str">
            <v>F07018</v>
          </cell>
          <cell r="L64" t="str">
            <v>CJ</v>
          </cell>
        </row>
        <row r="65">
          <cell r="K65" t="str">
            <v>F07101</v>
          </cell>
          <cell r="L65" t="str">
            <v>CJ</v>
          </cell>
        </row>
        <row r="66">
          <cell r="K66" t="str">
            <v/>
          </cell>
          <cell r="L66" t="str">
            <v/>
          </cell>
        </row>
        <row r="67">
          <cell r="K67" t="str">
            <v>F07088</v>
          </cell>
          <cell r="L67" t="str">
            <v>CJ</v>
          </cell>
        </row>
        <row r="68">
          <cell r="K68" t="str">
            <v>F07018</v>
          </cell>
          <cell r="L68" t="str">
            <v>CJ</v>
          </cell>
        </row>
        <row r="69">
          <cell r="K69" t="str">
            <v>F07101</v>
          </cell>
          <cell r="L69" t="str">
            <v>CJ</v>
          </cell>
        </row>
        <row r="70">
          <cell r="K70" t="str">
            <v/>
          </cell>
          <cell r="L70" t="str">
            <v/>
          </cell>
        </row>
        <row r="71">
          <cell r="K71" t="str">
            <v>F07088</v>
          </cell>
          <cell r="L71" t="str">
            <v>CJ</v>
          </cell>
        </row>
        <row r="72">
          <cell r="K72" t="str">
            <v>F07018</v>
          </cell>
          <cell r="L72" t="str">
            <v>CJ</v>
          </cell>
        </row>
        <row r="73">
          <cell r="K73" t="str">
            <v/>
          </cell>
          <cell r="L73" t="str">
            <v/>
          </cell>
        </row>
        <row r="74">
          <cell r="K74" t="str">
            <v>F07018</v>
          </cell>
          <cell r="L74" t="str">
            <v>CJ</v>
          </cell>
        </row>
        <row r="75">
          <cell r="K75" t="str">
            <v/>
          </cell>
          <cell r="L75" t="str">
            <v/>
          </cell>
        </row>
        <row r="76">
          <cell r="K76" t="str">
            <v>F07088</v>
          </cell>
          <cell r="L76" t="str">
            <v>CJ</v>
          </cell>
        </row>
        <row r="77">
          <cell r="K77" t="str">
            <v>F07018</v>
          </cell>
          <cell r="L77" t="str">
            <v>CJ</v>
          </cell>
        </row>
        <row r="78">
          <cell r="K78" t="str">
            <v>F07007</v>
          </cell>
          <cell r="L78" t="str">
            <v>CJ</v>
          </cell>
        </row>
        <row r="79">
          <cell r="K79" t="str">
            <v/>
          </cell>
          <cell r="L79" t="str">
            <v/>
          </cell>
        </row>
        <row r="80">
          <cell r="K80" t="str">
            <v>F07018</v>
          </cell>
          <cell r="L80" t="str">
            <v>CJ</v>
          </cell>
        </row>
        <row r="81">
          <cell r="K81" t="str">
            <v/>
          </cell>
          <cell r="L81" t="str">
            <v/>
          </cell>
        </row>
        <row r="82">
          <cell r="K82" t="str">
            <v>F07088</v>
          </cell>
          <cell r="L82" t="str">
            <v>CJ</v>
          </cell>
        </row>
        <row r="83">
          <cell r="K83" t="str">
            <v>F07018</v>
          </cell>
          <cell r="L83" t="str">
            <v>CJ</v>
          </cell>
        </row>
        <row r="84">
          <cell r="K84" t="str">
            <v/>
          </cell>
          <cell r="L84" t="str">
            <v/>
          </cell>
        </row>
        <row r="85">
          <cell r="K85" t="str">
            <v>F07091</v>
          </cell>
          <cell r="L85" t="str">
            <v>CJ</v>
          </cell>
        </row>
        <row r="86">
          <cell r="K86" t="str">
            <v>F07024</v>
          </cell>
          <cell r="L86" t="str">
            <v>CJ</v>
          </cell>
        </row>
        <row r="87">
          <cell r="K87" t="str">
            <v/>
          </cell>
          <cell r="L87" t="str">
            <v/>
          </cell>
        </row>
        <row r="88">
          <cell r="K88" t="str">
            <v>F07018</v>
          </cell>
          <cell r="L88" t="str">
            <v>CJ</v>
          </cell>
        </row>
        <row r="89">
          <cell r="K89" t="str">
            <v>F07101</v>
          </cell>
          <cell r="L89" t="str">
            <v>CJ</v>
          </cell>
        </row>
        <row r="90">
          <cell r="K90" t="str">
            <v>F07007</v>
          </cell>
          <cell r="L90" t="str">
            <v>CJ</v>
          </cell>
        </row>
        <row r="91">
          <cell r="K91" t="str">
            <v/>
          </cell>
          <cell r="L91" t="str">
            <v/>
          </cell>
        </row>
        <row r="92">
          <cell r="K92" t="str">
            <v>F07088</v>
          </cell>
          <cell r="L92" t="str">
            <v>CJ</v>
          </cell>
        </row>
        <row r="93">
          <cell r="K93" t="str">
            <v>F07018</v>
          </cell>
          <cell r="L93" t="str">
            <v>CJ</v>
          </cell>
        </row>
        <row r="94">
          <cell r="K94" t="str">
            <v>F07101</v>
          </cell>
          <cell r="L94" t="str">
            <v>CJ</v>
          </cell>
        </row>
        <row r="95">
          <cell r="K95" t="str">
            <v/>
          </cell>
          <cell r="L95" t="str">
            <v/>
          </cell>
        </row>
        <row r="96">
          <cell r="K96" t="str">
            <v>F07018</v>
          </cell>
          <cell r="L96" t="str">
            <v>CJ</v>
          </cell>
        </row>
        <row r="97">
          <cell r="K97" t="str">
            <v/>
          </cell>
          <cell r="L97" t="str">
            <v/>
          </cell>
        </row>
        <row r="98">
          <cell r="K98" t="str">
            <v>F07018</v>
          </cell>
          <cell r="L98" t="str">
            <v>CJ</v>
          </cell>
        </row>
        <row r="99">
          <cell r="K99" t="str">
            <v>F07101</v>
          </cell>
          <cell r="L99" t="str">
            <v>CJ</v>
          </cell>
        </row>
        <row r="100">
          <cell r="K100" t="str">
            <v/>
          </cell>
          <cell r="L100" t="str">
            <v/>
          </cell>
        </row>
        <row r="101">
          <cell r="K101" t="str">
            <v>F07018</v>
          </cell>
          <cell r="L101" t="str">
            <v>CJ</v>
          </cell>
        </row>
        <row r="102">
          <cell r="K102" t="str">
            <v>F07101</v>
          </cell>
          <cell r="L102" t="str">
            <v>CJ</v>
          </cell>
        </row>
        <row r="103">
          <cell r="K103" t="str">
            <v/>
          </cell>
          <cell r="L103" t="str">
            <v/>
          </cell>
        </row>
        <row r="104">
          <cell r="K104" t="str">
            <v>F07018</v>
          </cell>
          <cell r="L104" t="str">
            <v>CJ</v>
          </cell>
        </row>
        <row r="105">
          <cell r="K105" t="str">
            <v/>
          </cell>
          <cell r="L105" t="str">
            <v/>
          </cell>
        </row>
        <row r="106">
          <cell r="K106" t="str">
            <v>F07088</v>
          </cell>
          <cell r="L106" t="str">
            <v>CJ</v>
          </cell>
        </row>
        <row r="107">
          <cell r="K107" t="str">
            <v>F07018</v>
          </cell>
          <cell r="L107" t="str">
            <v>CJ</v>
          </cell>
        </row>
        <row r="108">
          <cell r="K108" t="str">
            <v>F07007</v>
          </cell>
          <cell r="L108" t="str">
            <v>CJ</v>
          </cell>
        </row>
        <row r="109">
          <cell r="K109" t="str">
            <v/>
          </cell>
          <cell r="L109" t="str">
            <v/>
          </cell>
        </row>
        <row r="110">
          <cell r="K110" t="str">
            <v>F07018</v>
          </cell>
          <cell r="L110" t="str">
            <v>CJ</v>
          </cell>
        </row>
        <row r="111">
          <cell r="K111" t="str">
            <v/>
          </cell>
          <cell r="L111" t="str">
            <v/>
          </cell>
        </row>
        <row r="112">
          <cell r="K112" t="str">
            <v>F07088</v>
          </cell>
          <cell r="L112" t="str">
            <v>CJ</v>
          </cell>
        </row>
        <row r="113">
          <cell r="K113" t="str">
            <v>F07018</v>
          </cell>
          <cell r="L113" t="str">
            <v>CJ</v>
          </cell>
        </row>
        <row r="114">
          <cell r="K114" t="str">
            <v>F07101</v>
          </cell>
          <cell r="L114" t="str">
            <v>CJ</v>
          </cell>
        </row>
        <row r="115">
          <cell r="K115" t="str">
            <v>F07007</v>
          </cell>
          <cell r="L115" t="str">
            <v>CJ</v>
          </cell>
        </row>
        <row r="116">
          <cell r="K116" t="str">
            <v/>
          </cell>
          <cell r="L116" t="str">
            <v/>
          </cell>
        </row>
        <row r="117">
          <cell r="K117" t="str">
            <v>F07091</v>
          </cell>
          <cell r="L117" t="str">
            <v>CJ</v>
          </cell>
        </row>
        <row r="118">
          <cell r="K118" t="str">
            <v>F07024</v>
          </cell>
          <cell r="L118" t="str">
            <v>CJ</v>
          </cell>
        </row>
        <row r="119">
          <cell r="K119" t="str">
            <v>F07102</v>
          </cell>
          <cell r="L119" t="str">
            <v>CJ</v>
          </cell>
        </row>
        <row r="120">
          <cell r="K120" t="str">
            <v/>
          </cell>
          <cell r="L120" t="str">
            <v/>
          </cell>
        </row>
        <row r="121">
          <cell r="K121" t="str">
            <v>F07018</v>
          </cell>
          <cell r="L121" t="str">
            <v>CJ</v>
          </cell>
        </row>
        <row r="122">
          <cell r="K122" t="str">
            <v>F07101</v>
          </cell>
          <cell r="L122" t="str">
            <v>CJ</v>
          </cell>
        </row>
        <row r="123">
          <cell r="K123" t="str">
            <v/>
          </cell>
          <cell r="L123" t="str">
            <v/>
          </cell>
        </row>
        <row r="124">
          <cell r="K124" t="str">
            <v>F07088</v>
          </cell>
          <cell r="L124" t="str">
            <v>CJ</v>
          </cell>
        </row>
        <row r="125">
          <cell r="K125" t="str">
            <v>F07018</v>
          </cell>
          <cell r="L125" t="str">
            <v>CJ</v>
          </cell>
        </row>
        <row r="126">
          <cell r="K126" t="str">
            <v>F07101</v>
          </cell>
          <cell r="L126" t="str">
            <v>CJ</v>
          </cell>
        </row>
        <row r="127">
          <cell r="K127" t="str">
            <v/>
          </cell>
          <cell r="L127" t="str">
            <v/>
          </cell>
        </row>
        <row r="128">
          <cell r="K128" t="str">
            <v>F07018</v>
          </cell>
          <cell r="L128" t="str">
            <v>CJ</v>
          </cell>
        </row>
        <row r="129">
          <cell r="K129" t="str">
            <v>F07101</v>
          </cell>
          <cell r="L129" t="str">
            <v>CJ</v>
          </cell>
        </row>
        <row r="130">
          <cell r="K130" t="str">
            <v>F07007</v>
          </cell>
          <cell r="L130" t="str">
            <v>CJ</v>
          </cell>
        </row>
        <row r="131">
          <cell r="K131" t="str">
            <v/>
          </cell>
          <cell r="L131" t="str">
            <v/>
          </cell>
        </row>
        <row r="132">
          <cell r="K132" t="str">
            <v/>
          </cell>
          <cell r="L132" t="str">
            <v/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3"/>
  <sheetViews>
    <sheetView tabSelected="1" workbookViewId="0"/>
  </sheetViews>
  <sheetFormatPr baseColWidth="10" defaultRowHeight="15" x14ac:dyDescent="0.25"/>
  <cols>
    <col min="1" max="5" width="11.42578125" style="5"/>
    <col min="6" max="7" width="11.42578125" style="5" customWidth="1"/>
    <col min="8" max="8" width="13.140625" style="5" customWidth="1"/>
    <col min="9" max="11" width="11.42578125" style="5" customWidth="1"/>
    <col min="12" max="12" width="11.42578125" style="7"/>
    <col min="13" max="15" width="11.42578125" style="5"/>
    <col min="16" max="16" width="17.140625" style="5" bestFit="1" customWidth="1"/>
    <col min="17" max="17" width="12.28515625" style="5" bestFit="1" customWidth="1"/>
    <col min="18" max="18" width="11.42578125" style="5"/>
    <col min="19" max="19" width="58.140625" style="5" bestFit="1" customWidth="1"/>
    <col min="20" max="20" width="23.140625" style="5" customWidth="1"/>
    <col min="21" max="16384" width="11.42578125" style="5"/>
  </cols>
  <sheetData>
    <row r="1" spans="1:19" customForma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/>
      <c r="K1" s="1"/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16</v>
      </c>
      <c r="S1" s="1" t="s">
        <v>17</v>
      </c>
    </row>
    <row r="2" spans="1:19" x14ac:dyDescent="0.25">
      <c r="A2" s="4" t="s">
        <v>18</v>
      </c>
      <c r="B2" s="4" t="s">
        <v>19</v>
      </c>
      <c r="C2" s="4" t="s">
        <v>20</v>
      </c>
      <c r="D2" s="4" t="s">
        <v>21</v>
      </c>
      <c r="E2" s="4" t="s">
        <v>66</v>
      </c>
      <c r="F2" s="6">
        <f t="shared" ref="F2:H17" ca="1" si="0">+TODAY()</f>
        <v>45722</v>
      </c>
      <c r="G2" s="6">
        <f t="shared" ca="1" si="0"/>
        <v>45722</v>
      </c>
      <c r="H2" s="6">
        <f t="shared" ca="1" si="0"/>
        <v>45722</v>
      </c>
      <c r="I2" s="4" t="s">
        <v>15</v>
      </c>
      <c r="L2" s="4" t="s">
        <v>64</v>
      </c>
      <c r="M2" s="4">
        <v>1</v>
      </c>
      <c r="N2" s="4" t="str">
        <f>+VLOOKUP(L2,[1]Sheet1!$K:$L,2,)</f>
        <v>CJ</v>
      </c>
      <c r="O2" s="4" t="s">
        <v>22</v>
      </c>
      <c r="P2" s="8">
        <v>132</v>
      </c>
      <c r="Q2" s="4" t="s">
        <v>23</v>
      </c>
      <c r="R2" s="4"/>
      <c r="S2" s="4" t="s">
        <v>65</v>
      </c>
    </row>
    <row r="3" spans="1:19" x14ac:dyDescent="0.25">
      <c r="A3" s="4" t="s">
        <v>18</v>
      </c>
      <c r="B3" s="4" t="s">
        <v>19</v>
      </c>
      <c r="C3" s="4" t="s">
        <v>20</v>
      </c>
      <c r="D3" s="4" t="s">
        <v>21</v>
      </c>
      <c r="E3" s="4" t="s">
        <v>67</v>
      </c>
      <c r="F3" s="6">
        <f t="shared" ca="1" si="0"/>
        <v>45722</v>
      </c>
      <c r="G3" s="6">
        <f t="shared" ca="1" si="0"/>
        <v>45722</v>
      </c>
      <c r="H3" s="6">
        <f t="shared" ca="1" si="0"/>
        <v>45722</v>
      </c>
      <c r="I3" s="4" t="s">
        <v>15</v>
      </c>
      <c r="L3" s="4" t="s">
        <v>64</v>
      </c>
      <c r="M3" s="4">
        <v>1</v>
      </c>
      <c r="N3" s="4" t="str">
        <f>+VLOOKUP(L3,[1]Sheet1!$K:$L,2,)</f>
        <v>CJ</v>
      </c>
      <c r="O3" s="4" t="s">
        <v>22</v>
      </c>
      <c r="P3" s="8">
        <v>211.2</v>
      </c>
      <c r="Q3" s="4" t="s">
        <v>24</v>
      </c>
      <c r="R3" s="4"/>
      <c r="S3" s="4" t="s">
        <v>65</v>
      </c>
    </row>
    <row r="4" spans="1:19" x14ac:dyDescent="0.25">
      <c r="A4" s="4" t="s">
        <v>18</v>
      </c>
      <c r="B4" s="4" t="s">
        <v>19</v>
      </c>
      <c r="C4" s="4" t="s">
        <v>20</v>
      </c>
      <c r="D4" s="4" t="s">
        <v>21</v>
      </c>
      <c r="E4" s="4" t="s">
        <v>68</v>
      </c>
      <c r="F4" s="6">
        <f t="shared" ca="1" si="0"/>
        <v>45722</v>
      </c>
      <c r="G4" s="6">
        <f t="shared" ca="1" si="0"/>
        <v>45722</v>
      </c>
      <c r="H4" s="6">
        <f t="shared" ca="1" si="0"/>
        <v>45722</v>
      </c>
      <c r="I4" s="4" t="s">
        <v>15</v>
      </c>
      <c r="L4" s="4" t="s">
        <v>64</v>
      </c>
      <c r="M4" s="4">
        <v>1</v>
      </c>
      <c r="N4" s="4" t="str">
        <f>+VLOOKUP(L4,[1]Sheet1!$K:$L,2,)</f>
        <v>CJ</v>
      </c>
      <c r="O4" s="4" t="s">
        <v>22</v>
      </c>
      <c r="P4" s="8">
        <v>132</v>
      </c>
      <c r="Q4" s="4" t="s">
        <v>25</v>
      </c>
      <c r="R4" s="4"/>
      <c r="S4" s="4" t="s">
        <v>65</v>
      </c>
    </row>
    <row r="5" spans="1:19" x14ac:dyDescent="0.25">
      <c r="A5" s="4" t="s">
        <v>18</v>
      </c>
      <c r="B5" s="4" t="s">
        <v>19</v>
      </c>
      <c r="C5" s="4" t="s">
        <v>20</v>
      </c>
      <c r="D5" s="4" t="s">
        <v>21</v>
      </c>
      <c r="E5" s="4" t="s">
        <v>69</v>
      </c>
      <c r="F5" s="6">
        <f t="shared" ca="1" si="0"/>
        <v>45722</v>
      </c>
      <c r="G5" s="6">
        <f t="shared" ca="1" si="0"/>
        <v>45722</v>
      </c>
      <c r="H5" s="6">
        <f t="shared" ca="1" si="0"/>
        <v>45722</v>
      </c>
      <c r="I5" s="4" t="s">
        <v>15</v>
      </c>
      <c r="L5" s="4" t="s">
        <v>64</v>
      </c>
      <c r="M5" s="4">
        <v>1</v>
      </c>
      <c r="N5" s="4" t="str">
        <f>+VLOOKUP(L5,[1]Sheet1!$K:$L,2,)</f>
        <v>CJ</v>
      </c>
      <c r="O5" s="4" t="s">
        <v>22</v>
      </c>
      <c r="P5" s="8">
        <v>316.8</v>
      </c>
      <c r="Q5" s="4" t="s">
        <v>26</v>
      </c>
      <c r="R5" s="4"/>
      <c r="S5" s="4" t="s">
        <v>65</v>
      </c>
    </row>
    <row r="6" spans="1:19" x14ac:dyDescent="0.25">
      <c r="A6" s="4" t="s">
        <v>18</v>
      </c>
      <c r="B6" s="4" t="s">
        <v>19</v>
      </c>
      <c r="C6" s="4" t="s">
        <v>20</v>
      </c>
      <c r="D6" s="4" t="s">
        <v>21</v>
      </c>
      <c r="E6" s="4" t="s">
        <v>70</v>
      </c>
      <c r="F6" s="6">
        <f t="shared" ca="1" si="0"/>
        <v>45722</v>
      </c>
      <c r="G6" s="6">
        <f t="shared" ca="1" si="0"/>
        <v>45722</v>
      </c>
      <c r="H6" s="6">
        <f t="shared" ca="1" si="0"/>
        <v>45722</v>
      </c>
      <c r="I6" s="4" t="s">
        <v>15</v>
      </c>
      <c r="L6" s="4" t="s">
        <v>64</v>
      </c>
      <c r="M6" s="4">
        <v>1</v>
      </c>
      <c r="N6" s="4" t="str">
        <f>+VLOOKUP(L6,[1]Sheet1!$K:$L,2,)</f>
        <v>CJ</v>
      </c>
      <c r="O6" s="4" t="s">
        <v>22</v>
      </c>
      <c r="P6" s="8">
        <v>237.6</v>
      </c>
      <c r="Q6" s="4" t="s">
        <v>27</v>
      </c>
      <c r="R6" s="4"/>
      <c r="S6" s="4" t="s">
        <v>65</v>
      </c>
    </row>
    <row r="7" spans="1:19" x14ac:dyDescent="0.25">
      <c r="A7" s="4" t="s">
        <v>18</v>
      </c>
      <c r="B7" s="4" t="s">
        <v>19</v>
      </c>
      <c r="C7" s="4" t="s">
        <v>20</v>
      </c>
      <c r="D7" s="4" t="s">
        <v>21</v>
      </c>
      <c r="E7" s="4" t="s">
        <v>70</v>
      </c>
      <c r="F7" s="6">
        <f t="shared" ca="1" si="0"/>
        <v>45722</v>
      </c>
      <c r="G7" s="6">
        <f t="shared" ca="1" si="0"/>
        <v>45722</v>
      </c>
      <c r="H7" s="6">
        <f t="shared" ca="1" si="0"/>
        <v>45722</v>
      </c>
      <c r="I7" s="4" t="s">
        <v>15</v>
      </c>
      <c r="L7" s="4" t="s">
        <v>64</v>
      </c>
      <c r="M7" s="4">
        <v>1</v>
      </c>
      <c r="N7" s="4" t="str">
        <f>+VLOOKUP(L7,[1]Sheet1!$K:$L,2,)</f>
        <v>CJ</v>
      </c>
      <c r="O7" s="4" t="s">
        <v>22</v>
      </c>
      <c r="P7" s="8">
        <v>134.4</v>
      </c>
      <c r="Q7" s="4" t="s">
        <v>28</v>
      </c>
      <c r="R7" s="4"/>
      <c r="S7" s="4" t="s">
        <v>65</v>
      </c>
    </row>
    <row r="8" spans="1:19" x14ac:dyDescent="0.25">
      <c r="A8" s="4" t="s">
        <v>18</v>
      </c>
      <c r="B8" s="4" t="s">
        <v>19</v>
      </c>
      <c r="C8" s="4" t="s">
        <v>20</v>
      </c>
      <c r="D8" s="4" t="s">
        <v>21</v>
      </c>
      <c r="E8" s="4" t="s">
        <v>71</v>
      </c>
      <c r="F8" s="6">
        <f t="shared" ca="1" si="0"/>
        <v>45722</v>
      </c>
      <c r="G8" s="6">
        <f t="shared" ca="1" si="0"/>
        <v>45722</v>
      </c>
      <c r="H8" s="6">
        <f t="shared" ca="1" si="0"/>
        <v>45722</v>
      </c>
      <c r="I8" s="4" t="s">
        <v>15</v>
      </c>
      <c r="L8" s="4" t="s">
        <v>64</v>
      </c>
      <c r="M8" s="4">
        <v>1</v>
      </c>
      <c r="N8" s="4" t="str">
        <f>+VLOOKUP(L8,[1]Sheet1!$K:$L,2,)</f>
        <v>CJ</v>
      </c>
      <c r="O8" s="4" t="s">
        <v>22</v>
      </c>
      <c r="P8" s="8">
        <v>239</v>
      </c>
      <c r="Q8" s="4" t="s">
        <v>29</v>
      </c>
      <c r="R8" s="4"/>
      <c r="S8" s="4" t="s">
        <v>65</v>
      </c>
    </row>
    <row r="9" spans="1:19" x14ac:dyDescent="0.25">
      <c r="A9" s="4" t="s">
        <v>18</v>
      </c>
      <c r="B9" s="4" t="s">
        <v>19</v>
      </c>
      <c r="C9" s="4" t="s">
        <v>20</v>
      </c>
      <c r="D9" s="4" t="s">
        <v>21</v>
      </c>
      <c r="E9" s="4" t="s">
        <v>71</v>
      </c>
      <c r="F9" s="6">
        <f t="shared" ca="1" si="0"/>
        <v>45722</v>
      </c>
      <c r="G9" s="6">
        <f t="shared" ca="1" si="0"/>
        <v>45722</v>
      </c>
      <c r="H9" s="6">
        <f t="shared" ca="1" si="0"/>
        <v>45722</v>
      </c>
      <c r="I9" s="4" t="s">
        <v>15</v>
      </c>
      <c r="L9" s="4" t="s">
        <v>64</v>
      </c>
      <c r="M9" s="4">
        <v>1</v>
      </c>
      <c r="N9" s="4" t="str">
        <f>+VLOOKUP(L9,[1]Sheet1!$K:$L,2,)</f>
        <v>CJ</v>
      </c>
      <c r="O9" s="4" t="s">
        <v>22</v>
      </c>
      <c r="P9" s="8">
        <v>177</v>
      </c>
      <c r="Q9" s="4" t="s">
        <v>30</v>
      </c>
      <c r="R9" s="4"/>
      <c r="S9" s="4" t="s">
        <v>65</v>
      </c>
    </row>
    <row r="10" spans="1:19" x14ac:dyDescent="0.25">
      <c r="A10" s="4" t="s">
        <v>18</v>
      </c>
      <c r="B10" s="4" t="s">
        <v>19</v>
      </c>
      <c r="C10" s="4" t="s">
        <v>20</v>
      </c>
      <c r="D10" s="4" t="s">
        <v>21</v>
      </c>
      <c r="E10" s="4" t="s">
        <v>72</v>
      </c>
      <c r="F10" s="6">
        <f t="shared" ca="1" si="0"/>
        <v>45722</v>
      </c>
      <c r="G10" s="6">
        <f t="shared" ca="1" si="0"/>
        <v>45722</v>
      </c>
      <c r="H10" s="6">
        <f t="shared" ca="1" si="0"/>
        <v>45722</v>
      </c>
      <c r="I10" s="4" t="s">
        <v>15</v>
      </c>
      <c r="L10" s="4" t="s">
        <v>64</v>
      </c>
      <c r="M10" s="4">
        <v>1</v>
      </c>
      <c r="N10" s="4" t="str">
        <f>+VLOOKUP(L10,[1]Sheet1!$K:$L,2,)</f>
        <v>CJ</v>
      </c>
      <c r="O10" s="4" t="s">
        <v>22</v>
      </c>
      <c r="P10" s="8">
        <v>158.4</v>
      </c>
      <c r="Q10" s="4" t="s">
        <v>31</v>
      </c>
      <c r="R10" s="4"/>
      <c r="S10" s="4" t="s">
        <v>65</v>
      </c>
    </row>
    <row r="11" spans="1:19" x14ac:dyDescent="0.25">
      <c r="A11" s="4" t="s">
        <v>18</v>
      </c>
      <c r="B11" s="4" t="s">
        <v>19</v>
      </c>
      <c r="C11" s="4" t="s">
        <v>20</v>
      </c>
      <c r="D11" s="4" t="s">
        <v>21</v>
      </c>
      <c r="E11" s="4" t="s">
        <v>73</v>
      </c>
      <c r="F11" s="6">
        <f t="shared" ca="1" si="0"/>
        <v>45722</v>
      </c>
      <c r="G11" s="6">
        <f t="shared" ca="1" si="0"/>
        <v>45722</v>
      </c>
      <c r="H11" s="6">
        <f t="shared" ca="1" si="0"/>
        <v>45722</v>
      </c>
      <c r="I11" s="4" t="s">
        <v>15</v>
      </c>
      <c r="L11" s="4" t="s">
        <v>64</v>
      </c>
      <c r="M11" s="4">
        <v>1</v>
      </c>
      <c r="N11" s="4" t="str">
        <f>+VLOOKUP(L11,[1]Sheet1!$K:$L,2,)</f>
        <v>CJ</v>
      </c>
      <c r="O11" s="4" t="s">
        <v>22</v>
      </c>
      <c r="P11" s="8">
        <v>188.2</v>
      </c>
      <c r="Q11" s="4" t="s">
        <v>32</v>
      </c>
      <c r="R11" s="4"/>
      <c r="S11" s="4" t="s">
        <v>65</v>
      </c>
    </row>
    <row r="12" spans="1:19" x14ac:dyDescent="0.25">
      <c r="A12" s="4" t="s">
        <v>18</v>
      </c>
      <c r="B12" s="4" t="s">
        <v>19</v>
      </c>
      <c r="C12" s="4" t="s">
        <v>20</v>
      </c>
      <c r="D12" s="4" t="s">
        <v>21</v>
      </c>
      <c r="E12" s="4" t="s">
        <v>74</v>
      </c>
      <c r="F12" s="6">
        <f t="shared" ca="1" si="0"/>
        <v>45722</v>
      </c>
      <c r="G12" s="6">
        <f t="shared" ca="1" si="0"/>
        <v>45722</v>
      </c>
      <c r="H12" s="6">
        <f t="shared" ca="1" si="0"/>
        <v>45722</v>
      </c>
      <c r="I12" s="4" t="s">
        <v>15</v>
      </c>
      <c r="L12" s="4" t="s">
        <v>64</v>
      </c>
      <c r="M12" s="4">
        <v>1</v>
      </c>
      <c r="N12" s="4" t="str">
        <f>+VLOOKUP(L12,[1]Sheet1!$K:$L,2,)</f>
        <v>CJ</v>
      </c>
      <c r="O12" s="4" t="s">
        <v>22</v>
      </c>
      <c r="P12" s="8">
        <v>264</v>
      </c>
      <c r="Q12" s="4" t="s">
        <v>33</v>
      </c>
      <c r="R12" s="4"/>
      <c r="S12" s="4" t="s">
        <v>65</v>
      </c>
    </row>
    <row r="13" spans="1:19" x14ac:dyDescent="0.25">
      <c r="A13" s="4" t="s">
        <v>18</v>
      </c>
      <c r="B13" s="4" t="s">
        <v>19</v>
      </c>
      <c r="C13" s="4" t="s">
        <v>20</v>
      </c>
      <c r="D13" s="4" t="s">
        <v>21</v>
      </c>
      <c r="E13" s="4" t="s">
        <v>75</v>
      </c>
      <c r="F13" s="6">
        <f t="shared" ca="1" si="0"/>
        <v>45722</v>
      </c>
      <c r="G13" s="6">
        <f t="shared" ca="1" si="0"/>
        <v>45722</v>
      </c>
      <c r="H13" s="6">
        <f t="shared" ca="1" si="0"/>
        <v>45722</v>
      </c>
      <c r="I13" s="4" t="s">
        <v>15</v>
      </c>
      <c r="L13" s="4" t="s">
        <v>64</v>
      </c>
      <c r="M13" s="4">
        <v>1</v>
      </c>
      <c r="N13" s="4" t="str">
        <f>+VLOOKUP(L13,[1]Sheet1!$K:$L,2,)</f>
        <v>CJ</v>
      </c>
      <c r="O13" s="4" t="s">
        <v>22</v>
      </c>
      <c r="P13" s="8">
        <v>158.4</v>
      </c>
      <c r="Q13" s="4" t="s">
        <v>34</v>
      </c>
      <c r="R13" s="4"/>
      <c r="S13" s="4" t="s">
        <v>65</v>
      </c>
    </row>
    <row r="14" spans="1:19" x14ac:dyDescent="0.25">
      <c r="A14" s="4" t="s">
        <v>18</v>
      </c>
      <c r="B14" s="4" t="s">
        <v>19</v>
      </c>
      <c r="C14" s="4" t="s">
        <v>20</v>
      </c>
      <c r="D14" s="4" t="s">
        <v>21</v>
      </c>
      <c r="E14" s="4" t="s">
        <v>76</v>
      </c>
      <c r="F14" s="6">
        <f t="shared" ca="1" si="0"/>
        <v>45722</v>
      </c>
      <c r="G14" s="6">
        <f t="shared" ca="1" si="0"/>
        <v>45722</v>
      </c>
      <c r="H14" s="6">
        <f t="shared" ca="1" si="0"/>
        <v>45722</v>
      </c>
      <c r="I14" s="4" t="s">
        <v>15</v>
      </c>
      <c r="L14" s="4" t="s">
        <v>64</v>
      </c>
      <c r="M14" s="4">
        <v>1</v>
      </c>
      <c r="N14" s="4" t="str">
        <f>+VLOOKUP(L14,[1]Sheet1!$K:$L,2,)</f>
        <v>CJ</v>
      </c>
      <c r="O14" s="4" t="s">
        <v>22</v>
      </c>
      <c r="P14" s="8">
        <v>105.6</v>
      </c>
      <c r="Q14" s="4" t="s">
        <v>35</v>
      </c>
      <c r="R14" s="4"/>
      <c r="S14" s="4" t="s">
        <v>65</v>
      </c>
    </row>
    <row r="15" spans="1:19" x14ac:dyDescent="0.25">
      <c r="A15" s="4" t="s">
        <v>18</v>
      </c>
      <c r="B15" s="4" t="s">
        <v>19</v>
      </c>
      <c r="C15" s="4" t="s">
        <v>20</v>
      </c>
      <c r="D15" s="4" t="s">
        <v>21</v>
      </c>
      <c r="E15" s="4" t="s">
        <v>77</v>
      </c>
      <c r="F15" s="6">
        <f t="shared" ca="1" si="0"/>
        <v>45722</v>
      </c>
      <c r="G15" s="6">
        <f t="shared" ca="1" si="0"/>
        <v>45722</v>
      </c>
      <c r="H15" s="6">
        <f t="shared" ca="1" si="0"/>
        <v>45722</v>
      </c>
      <c r="I15" s="4" t="s">
        <v>15</v>
      </c>
      <c r="L15" s="4" t="s">
        <v>64</v>
      </c>
      <c r="M15" s="4">
        <v>1</v>
      </c>
      <c r="N15" s="4" t="str">
        <f>+VLOOKUP(L15,[1]Sheet1!$K:$L,2,)</f>
        <v>CJ</v>
      </c>
      <c r="O15" s="4" t="s">
        <v>22</v>
      </c>
      <c r="P15" s="8">
        <v>184.8</v>
      </c>
      <c r="Q15" s="4" t="s">
        <v>36</v>
      </c>
      <c r="R15" s="4"/>
      <c r="S15" s="4" t="s">
        <v>65</v>
      </c>
    </row>
    <row r="16" spans="1:19" x14ac:dyDescent="0.25">
      <c r="A16" s="4" t="s">
        <v>18</v>
      </c>
      <c r="B16" s="4" t="s">
        <v>19</v>
      </c>
      <c r="C16" s="4" t="s">
        <v>20</v>
      </c>
      <c r="D16" s="4" t="s">
        <v>21</v>
      </c>
      <c r="E16" s="4" t="s">
        <v>78</v>
      </c>
      <c r="F16" s="6">
        <f t="shared" ca="1" si="0"/>
        <v>45722</v>
      </c>
      <c r="G16" s="6">
        <f t="shared" ca="1" si="0"/>
        <v>45722</v>
      </c>
      <c r="H16" s="6">
        <f t="shared" ca="1" si="0"/>
        <v>45722</v>
      </c>
      <c r="I16" s="4" t="s">
        <v>15</v>
      </c>
      <c r="L16" s="4" t="s">
        <v>64</v>
      </c>
      <c r="M16" s="4">
        <v>1</v>
      </c>
      <c r="N16" s="4" t="str">
        <f>+VLOOKUP(L16,[1]Sheet1!$K:$L,2,)</f>
        <v>CJ</v>
      </c>
      <c r="O16" s="4" t="s">
        <v>22</v>
      </c>
      <c r="P16" s="8">
        <v>322.60000000000002</v>
      </c>
      <c r="Q16" s="4" t="s">
        <v>37</v>
      </c>
      <c r="R16" s="4"/>
      <c r="S16" s="4" t="s">
        <v>65</v>
      </c>
    </row>
    <row r="17" spans="1:19" x14ac:dyDescent="0.25">
      <c r="A17" s="4" t="s">
        <v>18</v>
      </c>
      <c r="B17" s="4" t="s">
        <v>19</v>
      </c>
      <c r="C17" s="4" t="s">
        <v>20</v>
      </c>
      <c r="D17" s="4" t="s">
        <v>21</v>
      </c>
      <c r="E17" s="4" t="s">
        <v>79</v>
      </c>
      <c r="F17" s="6">
        <f t="shared" ca="1" si="0"/>
        <v>45722</v>
      </c>
      <c r="G17" s="6">
        <f t="shared" ca="1" si="0"/>
        <v>45722</v>
      </c>
      <c r="H17" s="6">
        <f t="shared" ca="1" si="0"/>
        <v>45722</v>
      </c>
      <c r="I17" s="4" t="s">
        <v>15</v>
      </c>
      <c r="L17" s="4" t="s">
        <v>64</v>
      </c>
      <c r="M17" s="4">
        <v>1</v>
      </c>
      <c r="N17" s="4" t="str">
        <f>+VLOOKUP(L17,[1]Sheet1!$K:$L,2,)</f>
        <v>CJ</v>
      </c>
      <c r="O17" s="4" t="s">
        <v>22</v>
      </c>
      <c r="P17" s="8">
        <v>158.4</v>
      </c>
      <c r="Q17" s="4" t="s">
        <v>38</v>
      </c>
      <c r="R17" s="4"/>
      <c r="S17" s="4" t="s">
        <v>65</v>
      </c>
    </row>
    <row r="18" spans="1:19" x14ac:dyDescent="0.25">
      <c r="A18" s="4" t="s">
        <v>18</v>
      </c>
      <c r="B18" s="4" t="s">
        <v>19</v>
      </c>
      <c r="C18" s="4" t="s">
        <v>20</v>
      </c>
      <c r="D18" s="4" t="s">
        <v>21</v>
      </c>
      <c r="E18" s="4" t="s">
        <v>80</v>
      </c>
      <c r="F18" s="6">
        <f t="shared" ref="F18:H42" ca="1" si="1">+TODAY()</f>
        <v>45722</v>
      </c>
      <c r="G18" s="6">
        <f t="shared" ca="1" si="1"/>
        <v>45722</v>
      </c>
      <c r="H18" s="6">
        <f t="shared" ca="1" si="1"/>
        <v>45722</v>
      </c>
      <c r="I18" s="4" t="s">
        <v>15</v>
      </c>
      <c r="L18" s="4" t="s">
        <v>64</v>
      </c>
      <c r="M18" s="4">
        <v>1</v>
      </c>
      <c r="N18" s="4" t="str">
        <f>+VLOOKUP(L18,[1]Sheet1!$K:$L,2,)</f>
        <v>CJ</v>
      </c>
      <c r="O18" s="4" t="s">
        <v>22</v>
      </c>
      <c r="P18" s="8">
        <v>188.2</v>
      </c>
      <c r="Q18" s="4" t="s">
        <v>39</v>
      </c>
      <c r="R18" s="4"/>
      <c r="S18" s="4" t="s">
        <v>65</v>
      </c>
    </row>
    <row r="19" spans="1:19" x14ac:dyDescent="0.25">
      <c r="A19" s="4" t="s">
        <v>18</v>
      </c>
      <c r="B19" s="4" t="s">
        <v>19</v>
      </c>
      <c r="C19" s="4" t="s">
        <v>20</v>
      </c>
      <c r="D19" s="4" t="s">
        <v>21</v>
      </c>
      <c r="E19" s="4" t="s">
        <v>81</v>
      </c>
      <c r="F19" s="6">
        <f t="shared" ca="1" si="1"/>
        <v>45722</v>
      </c>
      <c r="G19" s="6">
        <f t="shared" ca="1" si="1"/>
        <v>45722</v>
      </c>
      <c r="H19" s="6">
        <f t="shared" ca="1" si="1"/>
        <v>45722</v>
      </c>
      <c r="I19" s="4" t="s">
        <v>15</v>
      </c>
      <c r="L19" s="4" t="s">
        <v>64</v>
      </c>
      <c r="M19" s="4">
        <v>1</v>
      </c>
      <c r="N19" s="4" t="str">
        <f>+VLOOKUP(L19,[1]Sheet1!$K:$L,2,)</f>
        <v>CJ</v>
      </c>
      <c r="O19" s="4" t="s">
        <v>22</v>
      </c>
      <c r="P19" s="8">
        <v>132</v>
      </c>
      <c r="Q19" s="4" t="s">
        <v>40</v>
      </c>
      <c r="R19" s="4"/>
      <c r="S19" s="4" t="s">
        <v>65</v>
      </c>
    </row>
    <row r="20" spans="1:19" x14ac:dyDescent="0.25">
      <c r="A20" s="4" t="s">
        <v>18</v>
      </c>
      <c r="B20" s="4" t="s">
        <v>19</v>
      </c>
      <c r="C20" s="4" t="s">
        <v>20</v>
      </c>
      <c r="D20" s="4" t="s">
        <v>21</v>
      </c>
      <c r="E20" s="4" t="s">
        <v>82</v>
      </c>
      <c r="F20" s="6">
        <f t="shared" ca="1" si="1"/>
        <v>45722</v>
      </c>
      <c r="G20" s="6">
        <f t="shared" ca="1" si="1"/>
        <v>45722</v>
      </c>
      <c r="H20" s="6">
        <f t="shared" ca="1" si="1"/>
        <v>45722</v>
      </c>
      <c r="I20" s="4" t="s">
        <v>15</v>
      </c>
      <c r="L20" s="4" t="s">
        <v>64</v>
      </c>
      <c r="M20" s="4">
        <v>1</v>
      </c>
      <c r="N20" s="4" t="str">
        <f>+VLOOKUP(L20,[1]Sheet1!$K:$L,2,)</f>
        <v>CJ</v>
      </c>
      <c r="O20" s="4" t="s">
        <v>22</v>
      </c>
      <c r="P20" s="8">
        <v>132</v>
      </c>
      <c r="Q20" s="4" t="s">
        <v>41</v>
      </c>
      <c r="R20" s="4"/>
      <c r="S20" s="4" t="s">
        <v>65</v>
      </c>
    </row>
    <row r="21" spans="1:19" x14ac:dyDescent="0.25">
      <c r="A21" s="4" t="s">
        <v>18</v>
      </c>
      <c r="B21" s="4" t="s">
        <v>19</v>
      </c>
      <c r="C21" s="4" t="s">
        <v>20</v>
      </c>
      <c r="D21" s="4" t="s">
        <v>21</v>
      </c>
      <c r="E21" s="4" t="s">
        <v>83</v>
      </c>
      <c r="F21" s="6">
        <f t="shared" ca="1" si="1"/>
        <v>45722</v>
      </c>
      <c r="G21" s="6">
        <f t="shared" ca="1" si="1"/>
        <v>45722</v>
      </c>
      <c r="H21" s="6">
        <f t="shared" ca="1" si="1"/>
        <v>45722</v>
      </c>
      <c r="I21" s="4" t="s">
        <v>15</v>
      </c>
      <c r="L21" s="4" t="s">
        <v>64</v>
      </c>
      <c r="M21" s="4">
        <v>1</v>
      </c>
      <c r="N21" s="4" t="str">
        <f>+VLOOKUP(L21,[1]Sheet1!$K:$L,2,)</f>
        <v>CJ</v>
      </c>
      <c r="O21" s="4" t="s">
        <v>22</v>
      </c>
      <c r="P21" s="8">
        <v>105.6</v>
      </c>
      <c r="Q21" s="4" t="s">
        <v>42</v>
      </c>
      <c r="R21" s="4"/>
      <c r="S21" s="4" t="s">
        <v>65</v>
      </c>
    </row>
    <row r="22" spans="1:19" x14ac:dyDescent="0.25">
      <c r="A22" s="4" t="s">
        <v>18</v>
      </c>
      <c r="B22" s="4" t="s">
        <v>19</v>
      </c>
      <c r="C22" s="4" t="s">
        <v>20</v>
      </c>
      <c r="D22" s="4" t="s">
        <v>21</v>
      </c>
      <c r="E22" s="4" t="s">
        <v>84</v>
      </c>
      <c r="F22" s="6">
        <f t="shared" ca="1" si="1"/>
        <v>45722</v>
      </c>
      <c r="G22" s="6">
        <f t="shared" ca="1" si="1"/>
        <v>45722</v>
      </c>
      <c r="H22" s="6">
        <f t="shared" ca="1" si="1"/>
        <v>45722</v>
      </c>
      <c r="I22" s="4" t="s">
        <v>15</v>
      </c>
      <c r="L22" s="4" t="s">
        <v>64</v>
      </c>
      <c r="M22" s="4">
        <v>1</v>
      </c>
      <c r="N22" s="4" t="str">
        <f>+VLOOKUP(L22,[1]Sheet1!$K:$L,2,)</f>
        <v>CJ</v>
      </c>
      <c r="O22" s="4" t="s">
        <v>22</v>
      </c>
      <c r="P22" s="8">
        <v>158.4</v>
      </c>
      <c r="Q22" s="4" t="s">
        <v>43</v>
      </c>
      <c r="R22" s="4"/>
      <c r="S22" s="4" t="s">
        <v>65</v>
      </c>
    </row>
    <row r="23" spans="1:19" x14ac:dyDescent="0.25">
      <c r="A23" s="4" t="s">
        <v>18</v>
      </c>
      <c r="B23" s="4" t="s">
        <v>19</v>
      </c>
      <c r="C23" s="4" t="s">
        <v>20</v>
      </c>
      <c r="D23" s="4" t="s">
        <v>21</v>
      </c>
      <c r="E23" s="4" t="s">
        <v>85</v>
      </c>
      <c r="F23" s="6">
        <f t="shared" ca="1" si="1"/>
        <v>45722</v>
      </c>
      <c r="G23" s="6">
        <f t="shared" ca="1" si="1"/>
        <v>45722</v>
      </c>
      <c r="H23" s="6">
        <f t="shared" ca="1" si="1"/>
        <v>45722</v>
      </c>
      <c r="I23" s="4" t="s">
        <v>15</v>
      </c>
      <c r="L23" s="4" t="s">
        <v>64</v>
      </c>
      <c r="M23" s="4">
        <v>1</v>
      </c>
      <c r="N23" s="4" t="str">
        <f>+VLOOKUP(L23,[1]Sheet1!$K:$L,2,)</f>
        <v>CJ</v>
      </c>
      <c r="O23" s="4" t="s">
        <v>22</v>
      </c>
      <c r="P23" s="8">
        <v>132</v>
      </c>
      <c r="Q23" s="4" t="s">
        <v>44</v>
      </c>
      <c r="R23" s="4"/>
      <c r="S23" s="4" t="s">
        <v>65</v>
      </c>
    </row>
    <row r="24" spans="1:19" x14ac:dyDescent="0.25">
      <c r="A24" s="4" t="s">
        <v>18</v>
      </c>
      <c r="B24" s="4" t="s">
        <v>19</v>
      </c>
      <c r="C24" s="4" t="s">
        <v>20</v>
      </c>
      <c r="D24" s="4" t="s">
        <v>21</v>
      </c>
      <c r="E24" s="4" t="s">
        <v>86</v>
      </c>
      <c r="F24" s="6">
        <f t="shared" ca="1" si="1"/>
        <v>45722</v>
      </c>
      <c r="G24" s="6">
        <f t="shared" ca="1" si="1"/>
        <v>45722</v>
      </c>
      <c r="H24" s="6">
        <f t="shared" ca="1" si="1"/>
        <v>45722</v>
      </c>
      <c r="I24" s="4" t="s">
        <v>15</v>
      </c>
      <c r="L24" s="4" t="s">
        <v>64</v>
      </c>
      <c r="M24" s="4">
        <v>1</v>
      </c>
      <c r="N24" s="4" t="str">
        <f>+VLOOKUP(L24,[1]Sheet1!$K:$L,2,)</f>
        <v>CJ</v>
      </c>
      <c r="O24" s="4" t="s">
        <v>22</v>
      </c>
      <c r="P24" s="8">
        <v>316.8</v>
      </c>
      <c r="Q24" s="4" t="s">
        <v>45</v>
      </c>
      <c r="R24" s="4"/>
      <c r="S24" s="4" t="s">
        <v>65</v>
      </c>
    </row>
    <row r="25" spans="1:19" x14ac:dyDescent="0.25">
      <c r="A25" s="4" t="s">
        <v>18</v>
      </c>
      <c r="B25" s="4" t="s">
        <v>19</v>
      </c>
      <c r="C25" s="4" t="s">
        <v>20</v>
      </c>
      <c r="D25" s="4" t="s">
        <v>21</v>
      </c>
      <c r="E25" s="4" t="s">
        <v>87</v>
      </c>
      <c r="F25" s="6">
        <f t="shared" ca="1" si="1"/>
        <v>45722</v>
      </c>
      <c r="G25" s="6">
        <f t="shared" ca="1" si="1"/>
        <v>45722</v>
      </c>
      <c r="H25" s="6">
        <f t="shared" ca="1" si="1"/>
        <v>45722</v>
      </c>
      <c r="I25" s="4" t="s">
        <v>15</v>
      </c>
      <c r="L25" s="4" t="s">
        <v>64</v>
      </c>
      <c r="M25" s="4">
        <v>1</v>
      </c>
      <c r="N25" s="4" t="str">
        <f>+VLOOKUP(L25,[1]Sheet1!$K:$L,2,)</f>
        <v>CJ</v>
      </c>
      <c r="O25" s="4" t="s">
        <v>22</v>
      </c>
      <c r="P25" s="8">
        <v>501.6</v>
      </c>
      <c r="Q25" s="4" t="s">
        <v>46</v>
      </c>
      <c r="R25" s="4"/>
      <c r="S25" s="4" t="s">
        <v>65</v>
      </c>
    </row>
    <row r="26" spans="1:19" x14ac:dyDescent="0.25">
      <c r="A26" s="4" t="s">
        <v>18</v>
      </c>
      <c r="B26" s="4" t="s">
        <v>19</v>
      </c>
      <c r="C26" s="4" t="s">
        <v>20</v>
      </c>
      <c r="D26" s="4" t="s">
        <v>21</v>
      </c>
      <c r="E26" s="4" t="s">
        <v>88</v>
      </c>
      <c r="F26" s="6">
        <f t="shared" ca="1" si="1"/>
        <v>45722</v>
      </c>
      <c r="G26" s="6">
        <f t="shared" ca="1" si="1"/>
        <v>45722</v>
      </c>
      <c r="H26" s="6">
        <f t="shared" ca="1" si="1"/>
        <v>45722</v>
      </c>
      <c r="I26" s="4" t="s">
        <v>15</v>
      </c>
      <c r="L26" s="4" t="s">
        <v>64</v>
      </c>
      <c r="M26" s="4">
        <v>1</v>
      </c>
      <c r="N26" s="4" t="str">
        <f>+VLOOKUP(L26,[1]Sheet1!$K:$L,2,)</f>
        <v>CJ</v>
      </c>
      <c r="O26" s="4" t="s">
        <v>22</v>
      </c>
      <c r="P26" s="8">
        <v>158.4</v>
      </c>
      <c r="Q26" s="4" t="s">
        <v>47</v>
      </c>
      <c r="R26" s="4"/>
      <c r="S26" s="4" t="s">
        <v>65</v>
      </c>
    </row>
    <row r="27" spans="1:19" x14ac:dyDescent="0.25">
      <c r="A27" s="4" t="s">
        <v>18</v>
      </c>
      <c r="B27" s="4" t="s">
        <v>19</v>
      </c>
      <c r="C27" s="4" t="s">
        <v>20</v>
      </c>
      <c r="D27" s="4" t="s">
        <v>21</v>
      </c>
      <c r="E27" s="4" t="s">
        <v>89</v>
      </c>
      <c r="F27" s="6">
        <f t="shared" ca="1" si="1"/>
        <v>45722</v>
      </c>
      <c r="G27" s="6">
        <f t="shared" ca="1" si="1"/>
        <v>45722</v>
      </c>
      <c r="H27" s="6">
        <f t="shared" ca="1" si="1"/>
        <v>45722</v>
      </c>
      <c r="I27" s="4" t="s">
        <v>15</v>
      </c>
      <c r="L27" s="4" t="s">
        <v>64</v>
      </c>
      <c r="M27" s="4">
        <v>1</v>
      </c>
      <c r="N27" s="4" t="str">
        <f>+VLOOKUP(L27,[1]Sheet1!$K:$L,2,)</f>
        <v>CJ</v>
      </c>
      <c r="O27" s="4" t="s">
        <v>22</v>
      </c>
      <c r="P27" s="8">
        <v>158.4</v>
      </c>
      <c r="Q27" s="4" t="s">
        <v>48</v>
      </c>
      <c r="R27" s="4"/>
      <c r="S27" s="4" t="s">
        <v>65</v>
      </c>
    </row>
    <row r="28" spans="1:19" x14ac:dyDescent="0.25">
      <c r="A28" s="4" t="s">
        <v>18</v>
      </c>
      <c r="B28" s="4" t="s">
        <v>19</v>
      </c>
      <c r="C28" s="4" t="s">
        <v>20</v>
      </c>
      <c r="D28" s="4" t="s">
        <v>21</v>
      </c>
      <c r="E28" s="4" t="s">
        <v>90</v>
      </c>
      <c r="F28" s="6">
        <f t="shared" ca="1" si="1"/>
        <v>45722</v>
      </c>
      <c r="G28" s="6">
        <f t="shared" ca="1" si="1"/>
        <v>45722</v>
      </c>
      <c r="H28" s="6">
        <f t="shared" ca="1" si="1"/>
        <v>45722</v>
      </c>
      <c r="I28" s="4" t="s">
        <v>15</v>
      </c>
      <c r="L28" s="4" t="s">
        <v>64</v>
      </c>
      <c r="M28" s="4">
        <v>1</v>
      </c>
      <c r="N28" s="4" t="str">
        <f>+VLOOKUP(L28,[1]Sheet1!$K:$L,2,)</f>
        <v>CJ</v>
      </c>
      <c r="O28" s="4" t="s">
        <v>22</v>
      </c>
      <c r="P28" s="8">
        <v>264</v>
      </c>
      <c r="Q28" s="4" t="s">
        <v>49</v>
      </c>
      <c r="R28" s="4"/>
      <c r="S28" s="4" t="s">
        <v>65</v>
      </c>
    </row>
    <row r="29" spans="1:19" x14ac:dyDescent="0.25">
      <c r="A29" s="4" t="s">
        <v>18</v>
      </c>
      <c r="B29" s="4" t="s">
        <v>19</v>
      </c>
      <c r="C29" s="4" t="s">
        <v>20</v>
      </c>
      <c r="D29" s="4" t="s">
        <v>21</v>
      </c>
      <c r="E29" s="4" t="s">
        <v>91</v>
      </c>
      <c r="F29" s="6">
        <f t="shared" ca="1" si="1"/>
        <v>45722</v>
      </c>
      <c r="G29" s="6">
        <f t="shared" ca="1" si="1"/>
        <v>45722</v>
      </c>
      <c r="H29" s="6">
        <f t="shared" ca="1" si="1"/>
        <v>45722</v>
      </c>
      <c r="I29" s="4" t="s">
        <v>15</v>
      </c>
      <c r="L29" s="4" t="s">
        <v>64</v>
      </c>
      <c r="M29" s="4">
        <v>1</v>
      </c>
      <c r="N29" s="4" t="str">
        <f>+VLOOKUP(L29,[1]Sheet1!$K:$L,2,)</f>
        <v>CJ</v>
      </c>
      <c r="O29" s="4" t="s">
        <v>22</v>
      </c>
      <c r="P29" s="8">
        <v>327.7</v>
      </c>
      <c r="Q29" s="4" t="s">
        <v>50</v>
      </c>
      <c r="R29" s="4"/>
      <c r="S29" s="4" t="s">
        <v>65</v>
      </c>
    </row>
    <row r="30" spans="1:19" x14ac:dyDescent="0.25">
      <c r="A30" s="4" t="s">
        <v>18</v>
      </c>
      <c r="B30" s="4" t="s">
        <v>19</v>
      </c>
      <c r="C30" s="4" t="s">
        <v>20</v>
      </c>
      <c r="D30" s="4" t="s">
        <v>21</v>
      </c>
      <c r="E30" s="4" t="s">
        <v>92</v>
      </c>
      <c r="F30" s="6">
        <f t="shared" ca="1" si="1"/>
        <v>45722</v>
      </c>
      <c r="G30" s="6">
        <f t="shared" ca="1" si="1"/>
        <v>45722</v>
      </c>
      <c r="H30" s="6">
        <f t="shared" ca="1" si="1"/>
        <v>45722</v>
      </c>
      <c r="I30" s="4" t="s">
        <v>15</v>
      </c>
      <c r="L30" s="4" t="s">
        <v>64</v>
      </c>
      <c r="M30" s="4">
        <v>1</v>
      </c>
      <c r="N30" s="4" t="str">
        <f>+VLOOKUP(L30,[1]Sheet1!$K:$L,2,)</f>
        <v>CJ</v>
      </c>
      <c r="O30" s="4" t="s">
        <v>22</v>
      </c>
      <c r="P30" s="8">
        <v>134.4</v>
      </c>
      <c r="Q30" s="4" t="s">
        <v>51</v>
      </c>
      <c r="R30" s="4"/>
      <c r="S30" s="4" t="s">
        <v>65</v>
      </c>
    </row>
    <row r="31" spans="1:19" x14ac:dyDescent="0.25">
      <c r="A31" s="4" t="s">
        <v>18</v>
      </c>
      <c r="B31" s="4" t="s">
        <v>19</v>
      </c>
      <c r="C31" s="4" t="s">
        <v>20</v>
      </c>
      <c r="D31" s="4" t="s">
        <v>21</v>
      </c>
      <c r="E31" s="4" t="s">
        <v>93</v>
      </c>
      <c r="F31" s="6">
        <f t="shared" ca="1" si="1"/>
        <v>45722</v>
      </c>
      <c r="G31" s="6">
        <f t="shared" ca="1" si="1"/>
        <v>45722</v>
      </c>
      <c r="H31" s="6">
        <f t="shared" ca="1" si="1"/>
        <v>45722</v>
      </c>
      <c r="I31" s="4" t="s">
        <v>15</v>
      </c>
      <c r="L31" s="4" t="s">
        <v>64</v>
      </c>
      <c r="M31" s="4">
        <v>1</v>
      </c>
      <c r="N31" s="4" t="str">
        <f>+VLOOKUP(L31,[1]Sheet1!$K:$L,2,)</f>
        <v>CJ</v>
      </c>
      <c r="O31" s="4" t="s">
        <v>22</v>
      </c>
      <c r="P31" s="8">
        <v>528</v>
      </c>
      <c r="Q31" s="4" t="s">
        <v>52</v>
      </c>
      <c r="R31" s="4"/>
      <c r="S31" s="4" t="s">
        <v>65</v>
      </c>
    </row>
    <row r="32" spans="1:19" x14ac:dyDescent="0.25">
      <c r="A32" s="4" t="s">
        <v>18</v>
      </c>
      <c r="B32" s="4" t="s">
        <v>19</v>
      </c>
      <c r="C32" s="4" t="s">
        <v>20</v>
      </c>
      <c r="D32" s="4" t="s">
        <v>21</v>
      </c>
      <c r="E32" s="4" t="s">
        <v>94</v>
      </c>
      <c r="F32" s="6">
        <f t="shared" ca="1" si="1"/>
        <v>45722</v>
      </c>
      <c r="G32" s="6">
        <f t="shared" ca="1" si="1"/>
        <v>45722</v>
      </c>
      <c r="H32" s="6">
        <f t="shared" ca="1" si="1"/>
        <v>45722</v>
      </c>
      <c r="I32" s="4" t="s">
        <v>15</v>
      </c>
      <c r="L32" s="4" t="s">
        <v>64</v>
      </c>
      <c r="M32" s="4">
        <v>1</v>
      </c>
      <c r="N32" s="4" t="str">
        <f>+VLOOKUP(L32,[1]Sheet1!$K:$L,2,)</f>
        <v>CJ</v>
      </c>
      <c r="O32" s="4" t="s">
        <v>22</v>
      </c>
      <c r="P32" s="8">
        <v>158.4</v>
      </c>
      <c r="Q32" s="4" t="s">
        <v>53</v>
      </c>
      <c r="R32" s="4"/>
      <c r="S32" s="4" t="s">
        <v>65</v>
      </c>
    </row>
    <row r="33" spans="1:19" x14ac:dyDescent="0.25">
      <c r="A33" s="4" t="s">
        <v>18</v>
      </c>
      <c r="B33" s="4" t="s">
        <v>19</v>
      </c>
      <c r="C33" s="4" t="s">
        <v>20</v>
      </c>
      <c r="D33" s="4" t="s">
        <v>21</v>
      </c>
      <c r="E33" s="4" t="s">
        <v>95</v>
      </c>
      <c r="F33" s="6">
        <f t="shared" ca="1" si="1"/>
        <v>45722</v>
      </c>
      <c r="G33" s="6">
        <f t="shared" ca="1" si="1"/>
        <v>45722</v>
      </c>
      <c r="H33" s="6">
        <f t="shared" ca="1" si="1"/>
        <v>45722</v>
      </c>
      <c r="I33" s="4" t="s">
        <v>15</v>
      </c>
      <c r="L33" s="4" t="s">
        <v>64</v>
      </c>
      <c r="M33" s="4">
        <v>1</v>
      </c>
      <c r="N33" s="4" t="str">
        <f>+VLOOKUP(L33,[1]Sheet1!$K:$L,2,)</f>
        <v>CJ</v>
      </c>
      <c r="O33" s="4" t="s">
        <v>22</v>
      </c>
      <c r="P33" s="8">
        <v>132</v>
      </c>
      <c r="Q33" s="4" t="s">
        <v>54</v>
      </c>
      <c r="R33" s="4"/>
      <c r="S33" s="4" t="s">
        <v>65</v>
      </c>
    </row>
    <row r="34" spans="1:19" x14ac:dyDescent="0.25">
      <c r="A34" s="4" t="s">
        <v>18</v>
      </c>
      <c r="B34" s="4" t="s">
        <v>19</v>
      </c>
      <c r="C34" s="4" t="s">
        <v>20</v>
      </c>
      <c r="D34" s="4" t="s">
        <v>21</v>
      </c>
      <c r="E34" s="4" t="s">
        <v>96</v>
      </c>
      <c r="F34" s="6">
        <f t="shared" ca="1" si="1"/>
        <v>45722</v>
      </c>
      <c r="G34" s="6">
        <f t="shared" ca="1" si="1"/>
        <v>45722</v>
      </c>
      <c r="H34" s="6">
        <f t="shared" ca="1" si="1"/>
        <v>45722</v>
      </c>
      <c r="I34" s="4" t="s">
        <v>15</v>
      </c>
      <c r="L34" s="4" t="s">
        <v>64</v>
      </c>
      <c r="M34" s="4">
        <v>1</v>
      </c>
      <c r="N34" s="4" t="str">
        <f>+VLOOKUP(L34,[1]Sheet1!$K:$L,2,)</f>
        <v>CJ</v>
      </c>
      <c r="O34" s="4" t="s">
        <v>22</v>
      </c>
      <c r="P34" s="8">
        <v>132</v>
      </c>
      <c r="Q34" s="4" t="s">
        <v>55</v>
      </c>
      <c r="R34" s="4"/>
      <c r="S34" s="4" t="s">
        <v>65</v>
      </c>
    </row>
    <row r="35" spans="1:19" x14ac:dyDescent="0.25">
      <c r="A35" s="4" t="s">
        <v>18</v>
      </c>
      <c r="B35" s="4" t="s">
        <v>19</v>
      </c>
      <c r="C35" s="4" t="s">
        <v>20</v>
      </c>
      <c r="D35" s="4" t="s">
        <v>21</v>
      </c>
      <c r="E35" s="4" t="s">
        <v>97</v>
      </c>
      <c r="F35" s="6">
        <f t="shared" ca="1" si="1"/>
        <v>45722</v>
      </c>
      <c r="G35" s="6">
        <f t="shared" ca="1" si="1"/>
        <v>45722</v>
      </c>
      <c r="H35" s="6">
        <f t="shared" ca="1" si="1"/>
        <v>45722</v>
      </c>
      <c r="I35" s="4" t="s">
        <v>15</v>
      </c>
      <c r="L35" s="4" t="s">
        <v>64</v>
      </c>
      <c r="M35" s="4">
        <v>1</v>
      </c>
      <c r="N35" s="4" t="str">
        <f>+VLOOKUP(L35,[1]Sheet1!$K:$L,2,)</f>
        <v>CJ</v>
      </c>
      <c r="O35" s="4" t="s">
        <v>22</v>
      </c>
      <c r="P35" s="8">
        <v>237.6</v>
      </c>
      <c r="Q35" s="4" t="s">
        <v>56</v>
      </c>
      <c r="R35" s="4"/>
      <c r="S35" s="4" t="s">
        <v>65</v>
      </c>
    </row>
    <row r="36" spans="1:19" x14ac:dyDescent="0.25">
      <c r="A36" s="4" t="s">
        <v>18</v>
      </c>
      <c r="B36" s="4" t="s">
        <v>19</v>
      </c>
      <c r="C36" s="4" t="s">
        <v>20</v>
      </c>
      <c r="D36" s="4" t="s">
        <v>21</v>
      </c>
      <c r="E36" s="4" t="s">
        <v>98</v>
      </c>
      <c r="F36" s="6">
        <f t="shared" ca="1" si="1"/>
        <v>45722</v>
      </c>
      <c r="G36" s="6">
        <f t="shared" ca="1" si="1"/>
        <v>45722</v>
      </c>
      <c r="H36" s="6">
        <f t="shared" ca="1" si="1"/>
        <v>45722</v>
      </c>
      <c r="I36" s="4" t="s">
        <v>15</v>
      </c>
      <c r="L36" s="4" t="s">
        <v>64</v>
      </c>
      <c r="M36" s="4">
        <v>1</v>
      </c>
      <c r="N36" s="4" t="str">
        <f>+VLOOKUP(L36,[1]Sheet1!$K:$L,2,)</f>
        <v>CJ</v>
      </c>
      <c r="O36" s="4" t="s">
        <v>22</v>
      </c>
      <c r="P36" s="8">
        <v>792</v>
      </c>
      <c r="Q36" s="4" t="s">
        <v>57</v>
      </c>
      <c r="R36" s="4"/>
      <c r="S36" s="4" t="s">
        <v>65</v>
      </c>
    </row>
    <row r="37" spans="1:19" x14ac:dyDescent="0.25">
      <c r="A37" s="4" t="s">
        <v>18</v>
      </c>
      <c r="B37" s="4" t="s">
        <v>19</v>
      </c>
      <c r="C37" s="4" t="s">
        <v>20</v>
      </c>
      <c r="D37" s="4" t="s">
        <v>21</v>
      </c>
      <c r="E37" s="4" t="s">
        <v>98</v>
      </c>
      <c r="F37" s="6">
        <f t="shared" ca="1" si="1"/>
        <v>45722</v>
      </c>
      <c r="G37" s="6">
        <f t="shared" ca="1" si="1"/>
        <v>45722</v>
      </c>
      <c r="H37" s="6">
        <f t="shared" ca="1" si="1"/>
        <v>45722</v>
      </c>
      <c r="I37" s="4" t="s">
        <v>15</v>
      </c>
      <c r="L37" s="4" t="s">
        <v>64</v>
      </c>
      <c r="M37" s="4">
        <v>1</v>
      </c>
      <c r="N37" s="4" t="str">
        <f>+VLOOKUP(L37,[1]Sheet1!$K:$L,2,)</f>
        <v>CJ</v>
      </c>
      <c r="O37" s="4" t="s">
        <v>22</v>
      </c>
      <c r="P37" s="8">
        <v>132</v>
      </c>
      <c r="Q37" s="4" t="s">
        <v>58</v>
      </c>
      <c r="R37" s="4"/>
      <c r="S37" s="4" t="s">
        <v>65</v>
      </c>
    </row>
    <row r="38" spans="1:19" x14ac:dyDescent="0.25">
      <c r="A38" s="4" t="s">
        <v>18</v>
      </c>
      <c r="B38" s="4" t="s">
        <v>19</v>
      </c>
      <c r="C38" s="4" t="s">
        <v>20</v>
      </c>
      <c r="D38" s="4" t="s">
        <v>21</v>
      </c>
      <c r="E38" s="4" t="s">
        <v>99</v>
      </c>
      <c r="F38" s="6">
        <f t="shared" ca="1" si="1"/>
        <v>45722</v>
      </c>
      <c r="G38" s="6">
        <f t="shared" ca="1" si="1"/>
        <v>45722</v>
      </c>
      <c r="H38" s="6">
        <f t="shared" ca="1" si="1"/>
        <v>45722</v>
      </c>
      <c r="I38" s="4" t="s">
        <v>15</v>
      </c>
      <c r="L38" s="4" t="s">
        <v>64</v>
      </c>
      <c r="M38" s="4">
        <v>1</v>
      </c>
      <c r="N38" s="4" t="str">
        <f>+VLOOKUP(L38,[1]Sheet1!$K:$L,2,)</f>
        <v>CJ</v>
      </c>
      <c r="O38" s="4" t="s">
        <v>22</v>
      </c>
      <c r="P38" s="8">
        <v>264</v>
      </c>
      <c r="Q38" s="4" t="s">
        <v>59</v>
      </c>
      <c r="R38" s="4"/>
      <c r="S38" s="4" t="s">
        <v>65</v>
      </c>
    </row>
    <row r="39" spans="1:19" x14ac:dyDescent="0.25">
      <c r="A39" s="4" t="s">
        <v>18</v>
      </c>
      <c r="B39" s="4" t="s">
        <v>19</v>
      </c>
      <c r="C39" s="4" t="s">
        <v>20</v>
      </c>
      <c r="D39" s="4" t="s">
        <v>21</v>
      </c>
      <c r="E39" s="4" t="s">
        <v>100</v>
      </c>
      <c r="F39" s="6">
        <f t="shared" ca="1" si="1"/>
        <v>45722</v>
      </c>
      <c r="G39" s="6">
        <f t="shared" ca="1" si="1"/>
        <v>45722</v>
      </c>
      <c r="H39" s="6">
        <f t="shared" ca="1" si="1"/>
        <v>45722</v>
      </c>
      <c r="I39" s="4" t="s">
        <v>15</v>
      </c>
      <c r="L39" s="4" t="s">
        <v>64</v>
      </c>
      <c r="M39" s="4">
        <v>1</v>
      </c>
      <c r="N39" s="4" t="str">
        <f>+VLOOKUP(L39,[1]Sheet1!$K:$L,2,)</f>
        <v>CJ</v>
      </c>
      <c r="O39" s="4" t="s">
        <v>22</v>
      </c>
      <c r="P39" s="8">
        <v>158.4</v>
      </c>
      <c r="Q39" s="4" t="s">
        <v>60</v>
      </c>
      <c r="R39" s="4"/>
      <c r="S39" s="4" t="s">
        <v>65</v>
      </c>
    </row>
    <row r="40" spans="1:19" x14ac:dyDescent="0.25">
      <c r="A40" s="4" t="s">
        <v>18</v>
      </c>
      <c r="B40" s="4" t="s">
        <v>19</v>
      </c>
      <c r="C40" s="4" t="s">
        <v>20</v>
      </c>
      <c r="D40" s="4" t="s">
        <v>21</v>
      </c>
      <c r="E40" s="4" t="s">
        <v>101</v>
      </c>
      <c r="F40" s="6">
        <f t="shared" ca="1" si="1"/>
        <v>45722</v>
      </c>
      <c r="G40" s="6">
        <f t="shared" ca="1" si="1"/>
        <v>45722</v>
      </c>
      <c r="H40" s="6">
        <f t="shared" ca="1" si="1"/>
        <v>45722</v>
      </c>
      <c r="I40" s="4" t="s">
        <v>15</v>
      </c>
      <c r="L40" s="4" t="s">
        <v>64</v>
      </c>
      <c r="M40" s="4">
        <v>1</v>
      </c>
      <c r="N40" s="4" t="str">
        <f>+VLOOKUP(L40,[1]Sheet1!$K:$L,2,)</f>
        <v>CJ</v>
      </c>
      <c r="O40" s="4" t="s">
        <v>22</v>
      </c>
      <c r="P40" s="8">
        <v>184.8</v>
      </c>
      <c r="Q40" s="4" t="s">
        <v>61</v>
      </c>
      <c r="R40" s="4"/>
      <c r="S40" s="4" t="s">
        <v>65</v>
      </c>
    </row>
    <row r="41" spans="1:19" x14ac:dyDescent="0.25">
      <c r="A41" s="4" t="s">
        <v>18</v>
      </c>
      <c r="B41" s="4" t="s">
        <v>19</v>
      </c>
      <c r="C41" s="4" t="s">
        <v>20</v>
      </c>
      <c r="D41" s="4" t="s">
        <v>21</v>
      </c>
      <c r="E41" s="4" t="s">
        <v>102</v>
      </c>
      <c r="F41" s="6">
        <f t="shared" ca="1" si="1"/>
        <v>45722</v>
      </c>
      <c r="G41" s="6">
        <f t="shared" ca="1" si="1"/>
        <v>45722</v>
      </c>
      <c r="H41" s="6">
        <f t="shared" ca="1" si="1"/>
        <v>45722</v>
      </c>
      <c r="I41" s="4" t="s">
        <v>15</v>
      </c>
      <c r="L41" s="4" t="s">
        <v>64</v>
      </c>
      <c r="M41" s="4">
        <v>1</v>
      </c>
      <c r="N41" s="4" t="str">
        <f>+VLOOKUP(L41,[1]Sheet1!$K:$L,2,)</f>
        <v>CJ</v>
      </c>
      <c r="O41" s="4" t="s">
        <v>22</v>
      </c>
      <c r="P41" s="8">
        <v>237.6</v>
      </c>
      <c r="Q41" s="4" t="s">
        <v>62</v>
      </c>
      <c r="R41" s="4"/>
      <c r="S41" s="4" t="s">
        <v>65</v>
      </c>
    </row>
    <row r="42" spans="1:19" x14ac:dyDescent="0.25">
      <c r="A42" s="4" t="s">
        <v>18</v>
      </c>
      <c r="B42" s="4" t="s">
        <v>19</v>
      </c>
      <c r="C42" s="4" t="s">
        <v>20</v>
      </c>
      <c r="D42" s="4" t="s">
        <v>21</v>
      </c>
      <c r="E42" s="4" t="s">
        <v>103</v>
      </c>
      <c r="F42" s="6">
        <f t="shared" ca="1" si="1"/>
        <v>45722</v>
      </c>
      <c r="G42" s="6">
        <f t="shared" ca="1" si="1"/>
        <v>45722</v>
      </c>
      <c r="H42" s="6">
        <f t="shared" ca="1" si="1"/>
        <v>45722</v>
      </c>
      <c r="I42" s="4" t="s">
        <v>15</v>
      </c>
      <c r="L42" s="4" t="s">
        <v>64</v>
      </c>
      <c r="M42" s="4">
        <v>1</v>
      </c>
      <c r="N42" s="4" t="str">
        <f>+VLOOKUP(L42,[1]Sheet1!$K:$L,2,)</f>
        <v>CJ</v>
      </c>
      <c r="O42" s="4" t="s">
        <v>22</v>
      </c>
      <c r="P42" s="8">
        <v>158.4</v>
      </c>
      <c r="Q42" s="4" t="s">
        <v>63</v>
      </c>
      <c r="R42" s="4"/>
      <c r="S42" s="4" t="s">
        <v>65</v>
      </c>
    </row>
    <row r="43" spans="1:19" x14ac:dyDescent="0.25">
      <c r="E43" s="4"/>
    </row>
  </sheetData>
  <conditionalFormatting sqref="Q43:Q1048576 Q1:Q2">
    <cfRule type="duplicateValues" dxfId="1" priority="2"/>
  </conditionalFormatting>
  <conditionalFormatting sqref="Q3:Q42">
    <cfRule type="duplicateValues" dxfId="0" priority="4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Batch</vt:lpstr>
    </vt:vector>
  </TitlesOfParts>
  <Company>Empresas Polar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MARCANO LEAL, JESUELYS JANET</dc:creator>
  <cp:lastModifiedBy>admin</cp:lastModifiedBy>
  <dcterms:created xsi:type="dcterms:W3CDTF">2023-01-02T18:41:45Z</dcterms:created>
  <dcterms:modified xsi:type="dcterms:W3CDTF">2025-03-06T12:58:43Z</dcterms:modified>
</cp:coreProperties>
</file>